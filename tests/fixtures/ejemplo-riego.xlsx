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del cultivo" sheetId="1" state="visible" r:id="rId3"/>
    <sheet name="Emisor" sheetId="2" state="visible" r:id="rId4"/>
    <sheet name="Lote" sheetId="3" state="visible" r:id="rId5"/>
    <sheet name="Diseñ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<sst xmlns="http://schemas.openxmlformats.org/spreadsheetml/2006/main" count="41" uniqueCount="41">
  <si>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Información del cultivo (ejemplo sintético para pruebas)</t>
  </si>
  <si>
    <t xml:space="preserve">Nombre común</t>
  </si>
  <si>
    <t xml:space="preserve">Maíz</t>
  </si>
  <si>
    <t xml:space="preserve">KC Etapa Inicial</t>
  </si>
  <si>
    <t xml:space="preserve">KC Etapa Mediado</t>
  </si>
  <si>
    <t xml:space="preserve">KC Etapa Final</t>
  </si>
  <si>
    <t xml:space="preserve">Duración KC Etapa Inicial (dias)</t>
  </si>
  <si>
    <t xml:space="preserve">Duración KC Etapa Desarollo (dias)</t>
  </si>
  <si>
    <t xml:space="preserve">Duración KC Etapa Mediado (dias)</t>
  </si>
  <si>
    <t xml:space="preserve">Duración KC Etapa Final (dias)</t>
  </si>
  <si>
    <t xml:space="preserve">Agua facilmente aprovechable (%)</t>
  </si>
  <si>
    <t xml:space="preserve">Distancia entre planta (mts)</t>
  </si>
  <si>
    <t xml:space="preserve">Distancia entre surcos (mts)</t>
  </si>
  <si>
    <t xml:space="preserve">Número de hileras por cama</t>
  </si>
  <si>
    <t xml:space="preserve">Altura de la planta (m)</t>
  </si>
  <si>
    <t xml:space="preserve">Profundidad Radicular (m)</t>
  </si>
  <si>
    <t xml:space="preserve">Eficiencia de riego (%)</t>
  </si>
  <si>
    <t xml:space="preserve">Cuadal del Emisor(l/h)</t>
  </si>
  <si>
    <t xml:space="preserve">Distancia entre laterales(mts)</t>
  </si>
  <si>
    <t xml:space="preserve">Distancia entre emisor(mts)</t>
  </si>
  <si>
    <t xml:space="preserve">Area Lote</t>
  </si>
  <si>
    <t xml:space="preserve">Datos</t>
  </si>
  <si>
    <t xml:space="preserve">Parte 1</t>
  </si>
  <si>
    <t xml:space="preserve">Parte 2</t>
  </si>
  <si>
    <t xml:space="preserve">Area (ha)</t>
  </si>
  <si>
    <t xml:space="preserve">Pedregosidad (%)</t>
  </si>
  <si>
    <t xml:space="preserve">Textura</t>
  </si>
  <si>
    <t xml:space="preserve">F</t>
  </si>
  <si>
    <t xml:space="preserve">FA</t>
  </si>
  <si>
    <t xml:space="preserve">Densidad Aparente (gr/cm³)</t>
  </si>
  <si>
    <t xml:space="preserve">Capacidad de campo (%W)</t>
  </si>
  <si>
    <t xml:space="preserve">Punto de marchitez (%W)</t>
  </si>
  <si>
    <t xml:space="preserve">Velocidad de infiltracion Basica (mm/hr)</t>
  </si>
  <si>
    <t xml:space="preserve">Lamina de agua aprovechable zona radicular (LAAzr)</t>
  </si>
  <si>
    <t xml:space="preserve">Eto (mm/dia)</t>
  </si>
  <si>
    <t xml:space="preserve">Etc Max (mm/dia)</t>
  </si>
  <si>
    <t xml:space="preserve">Precipitacion Instantanea (mm/h)</t>
  </si>
  <si>
    <t xml:space="preserve">Tiempo de riego por sector (h)</t>
  </si>
  <si>
    <t xml:space="preserve">Horas laborales</t>
  </si>
  <si>
    <t xml:space="preserve">Numero de sectores real</t>
  </si>
  <si>
    <t xml:space="preserve">Area de Riego por sector (ha)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</si>
</sst>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1" t="s">
        <v>3</v>
      </c>
      <c r="B3" s="1" t="n">
        <v>0.3</v>
      </c>
    </row>
    <row r="4" customFormat="false" ht="15" hidden="false" customHeight="false" outlineLevel="0" collapsed="false">
      <c r="A4" s="1" t="s">
        <v>4</v>
      </c>
      <c r="B4" s="1" t="n">
        <v>1.2</v>
      </c>
    </row>
    <row r="5" customFormat="false" ht="15" hidden="false" customHeight="false" outlineLevel="0" collapsed="false">
      <c r="A5" s="1" t="s">
        <v>5</v>
      </c>
      <c r="B5" s="1" t="n">
        <v>0.35</v>
      </c>
    </row>
    <row r="6" customFormat="false" ht="15" hidden="false" customHeight="false" outlineLevel="0" collapsed="false">
      <c r="A6" s="1" t="s">
        <v>6</v>
      </c>
      <c r="B6" s="1" t="n">
        <v>20</v>
      </c>
    </row>
    <row r="7" customFormat="false" ht="15" hidden="false" customHeight="false" outlineLevel="0" collapsed="false">
      <c r="A7" s="1" t="s">
        <v>7</v>
      </c>
      <c r="B7" s="1" t="n">
        <v>35</v>
      </c>
    </row>
    <row r="8" customFormat="false" ht="15" hidden="false" customHeight="false" outlineLevel="0" collapsed="false">
      <c r="A8" s="1" t="s">
        <v>8</v>
      </c>
      <c r="B8" s="1" t="n">
        <v>40</v>
      </c>
    </row>
    <row r="9" customFormat="false" ht="15" hidden="false" customHeight="false" outlineLevel="0" collapsed="false">
      <c r="A9" s="1" t="s">
        <v>9</v>
      </c>
      <c r="B9" s="1" t="n">
        <v>30</v>
      </c>
    </row>
    <row r="10" customFormat="false" ht="15" hidden="false" customHeight="false" outlineLevel="0" collapsed="false">
      <c r="A10" s="1" t="s">
        <v>10</v>
      </c>
      <c r="B10" s="1" t="n">
        <v>0.55</v>
      </c>
    </row>
    <row r="11" customFormat="false" ht="15" hidden="false" customHeight="false" outlineLevel="0" collapsed="false">
      <c r="A11" s="1" t="s">
        <v>11</v>
      </c>
      <c r="B11" s="1" t="n">
        <v>0.25</v>
      </c>
    </row>
    <row r="12" customFormat="false" ht="15" hidden="false" customHeight="false" outlineLevel="0" collapsed="false">
      <c r="A12" s="1" t="s">
        <v>12</v>
      </c>
      <c r="B12" s="1" t="n">
        <v>1</v>
      </c>
    </row>
    <row r="13" customFormat="false" ht="15" hidden="false" customHeight="false" outlineLevel="0" collapsed="false">
      <c r="A13" s="1" t="s">
        <v>13</v>
      </c>
      <c r="B13" s="1" t="n">
        <v>1</v>
      </c>
    </row>
    <row r="14" customFormat="false" ht="15" hidden="false" customHeight="false" outlineLevel="0" collapsed="false">
      <c r="A14" s="1" t="s">
        <v>14</v>
      </c>
      <c r="B14" s="1" t="n">
        <v>2.2</v>
      </c>
    </row>
    <row r="15" customFormat="false" ht="15" hidden="false" customHeight="false" outlineLevel="0" collapsed="false">
      <c r="A15" s="1" t="s">
        <v>15</v>
      </c>
      <c r="B15" s="1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</v>
      </c>
      <c r="B1" s="0" t="n">
        <v>0.9</v>
      </c>
    </row>
    <row r="2" customFormat="false" ht="15" hidden="false" customHeight="false" outlineLevel="0" collapsed="false">
      <c r="A2" s="0" t="s">
        <v>17</v>
      </c>
      <c r="B2" s="0" t="n">
        <v>1.6</v>
      </c>
    </row>
    <row r="3" customFormat="false" ht="15" hidden="false" customHeight="false" outlineLevel="0" collapsed="false">
      <c r="A3" s="0" t="s">
        <v>18</v>
      </c>
      <c r="B3" s="0" t="n">
        <v>1</v>
      </c>
    </row>
    <row r="4" customFormat="false" ht="15" hidden="false" customHeight="false" outlineLevel="0" collapsed="false">
      <c r="A4" s="0" t="s">
        <v>19</v>
      </c>
      <c r="B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n">
        <v>8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</row>
    <row r="4" customFormat="false" ht="15" hidden="false" customHeight="false" outlineLevel="0" collapsed="false">
      <c r="A4" s="0" t="s">
        <v>24</v>
      </c>
      <c r="B4" s="0" t="n">
        <v>5</v>
      </c>
      <c r="C4" s="0" t="n">
        <v>3</v>
      </c>
    </row>
    <row r="5" customFormat="false" ht="15" hidden="false" customHeight="false" outlineLevel="0" collapsed="false">
      <c r="A5" s="0" t="s">
        <v>25</v>
      </c>
      <c r="B5" s="0" t="n">
        <v>10</v>
      </c>
      <c r="C5" s="0" t="n">
        <v>20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</row>
    <row r="7" customFormat="false" ht="15" hidden="false" customHeight="false" outlineLevel="0" collapsed="false">
      <c r="A7" s="0" t="s">
        <v>29</v>
      </c>
      <c r="B7" s="0" t="n">
        <v>1.42</v>
      </c>
      <c r="C7" s="0" t="n">
        <v>1.5</v>
      </c>
    </row>
    <row r="8" customFormat="false" ht="15" hidden="false" customHeight="false" outlineLevel="0" collapsed="false">
      <c r="A8" s="0" t="s">
        <v>30</v>
      </c>
      <c r="B8" s="0" t="n">
        <v>22</v>
      </c>
      <c r="C8" s="0" t="n">
        <v>14</v>
      </c>
    </row>
    <row r="9" customFormat="false" ht="15" hidden="false" customHeight="false" outlineLevel="0" collapsed="false">
      <c r="A9" s="0" t="s">
        <v>31</v>
      </c>
      <c r="B9" s="0" t="n">
        <v>10</v>
      </c>
      <c r="C9" s="0" t="n">
        <v>6</v>
      </c>
    </row>
    <row r="10" customFormat="false" ht="15" hidden="false" customHeight="false" outlineLevel="0" collapsed="false">
      <c r="A10" s="0" t="s">
        <v>32</v>
      </c>
      <c r="B10" s="0" t="n">
        <v>10</v>
      </c>
      <c r="C10" s="0" t="n">
        <v>5</v>
      </c>
    </row>
    <row r="11" customFormat="false" ht="15" hidden="false" customHeight="false" outlineLevel="0" collapsed="false">
      <c r="A11" s="0" t="s">
        <v>33</v>
      </c>
      <c r="B11" s="0" t="n">
        <f aca="false">(B8-B9)*B7*0.55*(1-B5/100)*10</f>
        <v>84.348</v>
      </c>
      <c r="C11" s="0" t="n">
        <f aca="false">(C8-C9)*C7*0.55*(1-C5/100)*10</f>
        <v>52.8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n">
        <v>6</v>
      </c>
    </row>
    <row r="2" customFormat="false" ht="15" hidden="false" customHeight="false" outlineLevel="0" collapsed="false">
      <c r="A2" s="0" t="s">
        <v>35</v>
      </c>
      <c r="B2" s="0" t="n">
        <f aca="false">B1*'Datos del cultivo'!B4</f>
        <v>7.2</v>
      </c>
    </row>
    <row r="3" customFormat="false" ht="15" hidden="false" customHeight="false" outlineLevel="0" collapsed="false">
      <c r="A3" s="0" t="s">
        <v>36</v>
      </c>
      <c r="B3" s="0" t="n">
        <f aca="false">Emisor!B2/(Emisor!B3*Emisor!B4)</f>
        <v>6.4</v>
      </c>
    </row>
    <row r="4" customFormat="false" ht="15" hidden="false" customHeight="false" outlineLevel="0" collapsed="false">
      <c r="A4" s="0" t="s">
        <v>37</v>
      </c>
      <c r="B4" s="0" t="n">
        <f aca="false">B2/(B3*Emisor!B1)</f>
        <v>1.25</v>
      </c>
    </row>
    <row r="5" customFormat="false" ht="15" hidden="false" customHeight="false" outlineLevel="0" collapsed="false">
      <c r="A5" s="0" t="s">
        <v>38</v>
      </c>
      <c r="B5" s="0" t="n">
        <v>10</v>
      </c>
    </row>
    <row r="6" customFormat="false" ht="15" hidden="false" customHeight="false" outlineLevel="0" collapsed="false">
      <c r="A6" s="0" t="s">
        <v>39</v>
      </c>
      <c r="B6" s="0" t="n">
        <v>5</v>
      </c>
    </row>
    <row r="7" customFormat="false" ht="15" hidden="false" customHeight="false" outlineLevel="0" collapsed="false">
      <c r="A7" s="0" t="s">
        <v>40</v>
      </c>
      <c r="B7" s="0" t="n">
        <f aca="false">8/B6</f>
        <v>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2026-10-04T05:46:01Z</dcterms:created>
  <dc:creator>openpyxl</dc:creator>
  <dc:description/>
  <dc:language>en-US</dc:language>
  <cp:lastModifiedBy/>
  <dcterms:modified xsi:type="dcterms:W3CDTF">2026-10-04T05:46:01Z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